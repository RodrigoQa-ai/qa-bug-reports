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tended bug report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tc={091e4d04-4ed2-42cc-b6cc-f4321d456b08}</author>
    <author>tc={23f8a0de-6755-4a7f-ad43-ab397faa946f}</author>
  </authors>
  <commentList>
    <comment authorId="0" xr:uid="{091e4d04-4ed2-42cc-b6cc-f4321d456b08}" ref="C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Observe que alguns erros na captura de tela podem vir do usuário (por exemplo, um usuário criou uma tarefa com um erro de digitação no título). Não relate esses erros: os desenvolvedores não são responsáveis por isso.
</t>
      </text>
    </comment>
    <comment authorId="1" xr:uid="{23f8a0de-6755-4a7f-ad43-ab397faa946f}" ref="C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Observe que alguns erros na captura de tela podem vir do usuário (por exemplo, um usuário criou uma tarefa com um erro de digitação no título). Não relate esses erros: os desenvolvedores não são responsáveis por isso.
</t>
      </text>
    </comment>
  </commentList>
</comments>
</file>

<file path=xl/sharedStrings.xml><?xml version="1.0" encoding="utf-8"?>
<sst xmlns="http://schemas.openxmlformats.org/spreadsheetml/2006/main" count="108" uniqueCount="49">
  <si>
    <t>Category</t>
  </si>
  <si>
    <t>Label</t>
  </si>
  <si>
    <t>Value</t>
  </si>
  <si>
    <t>Bug ID</t>
  </si>
  <si>
    <t>ID number</t>
  </si>
  <si>
    <t>PS-001</t>
  </si>
  <si>
    <t>Bug overview</t>
  </si>
  <si>
    <t>Summary</t>
  </si>
  <si>
    <t>Column title "In Progress" is misspelled as "In Progres"</t>
  </si>
  <si>
    <t>Screenshot</t>
  </si>
  <si>
    <t>Environment</t>
  </si>
  <si>
    <t>Operating system</t>
  </si>
  <si>
    <t>Windows 10</t>
  </si>
  <si>
    <t>App version</t>
  </si>
  <si>
    <t>Demo</t>
  </si>
  <si>
    <t>Browser</t>
  </si>
  <si>
    <t>Chrome 144.0.7559.110</t>
  </si>
  <si>
    <t>Bug details</t>
  </si>
  <si>
    <t>Preconditions</t>
  </si>
  <si>
    <t>User opens the QA Test board.</t>
  </si>
  <si>
    <t>Steps to reproduce</t>
  </si>
  <si>
    <t>1. Open the "QA Test".
2. Look at the column titles on the board.</t>
  </si>
  <si>
    <t>Actual result</t>
  </si>
  <si>
    <t>The column title is displayed as ‘In Progres’.</t>
  </si>
  <si>
    <t>Expected result</t>
  </si>
  <si>
    <t>The column title should be displayed as ‘In Progress’.</t>
  </si>
  <si>
    <t>Attachments</t>
  </si>
  <si>
    <t>Bug tracking</t>
  </si>
  <si>
    <t>Severity</t>
  </si>
  <si>
    <t>Minor</t>
  </si>
  <si>
    <t>Assigned to</t>
  </si>
  <si>
    <t>Priority</t>
  </si>
  <si>
    <t>Low</t>
  </si>
  <si>
    <t>Notes</t>
  </si>
  <si>
    <t>This is a UI text issue that may impact user perception and professionalism.</t>
  </si>
  <si>
    <t>PS-002</t>
  </si>
  <si>
    <t>The "Archive" column title is misspelled as "Archivee"</t>
  </si>
  <si>
    <t>User opens the board "QA Test".</t>
  </si>
  <si>
    <t>1. Open the board "QA Test".
2. Look at the Archive column.</t>
  </si>
  <si>
    <t>The column title is displayed as ‘Archivee’</t>
  </si>
  <si>
    <t>The column title should be displayed as ‘Archive’</t>
  </si>
  <si>
    <t>This issue is similar to other column title inconsistencies, indicating a possible pattern.</t>
  </si>
  <si>
    <t>PS-003</t>
  </si>
  <si>
    <t>Duplicate due date is displayed on the same task card</t>
  </si>
  <si>
    <t>Open the QA Test board.</t>
  </si>
  <si>
    <t>1. Open the board QA Test.
2. Look at the "Done" column
3. Check the due date displayed on the second task card.</t>
  </si>
  <si>
    <t>The due date ‘Aug 1’ is displayed twice on the same task card.</t>
  </si>
  <si>
    <t>Each task card should display the due date only once.</t>
  </si>
  <si>
    <t>This issue may indicate a duplication bug in the UI rendering or data handling logic.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</si>
</sst>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sz val="11.0"/>
      <color theme="1"/>
      <name val="Arial"/>
    </font>
    <font/>
    <font>
      <u/>
      <color rgb="FF1155CC"/>
      <name val="Arial"/>
    </font>
    <font>
      <color rgb="FF000000"/>
      <name val="Arial"/>
    </font>
    <font>
      <color rgb="FF202124"/>
      <name val="Roboto"/>
    </font>
    <font>
      <sz val="10.0"/>
      <color rgb="FF000000"/>
      <name val="Arial"/>
    </font>
    <font>
      <sz val="10.0"/>
      <color theme="1"/>
      <name val="Arial"/>
    </font>
    <font>
      <color theme="1"/>
      <name val="Arial"/>
      <scheme val="minor"/>
    </font>
    <font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vertical="bottom"/>
    </xf>
    <xf borderId="1" fillId="2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2" fontId="3" numFmtId="0" xfId="0" applyBorder="1" applyFont="1"/>
    <xf borderId="1" fillId="2" fontId="4" numFmtId="0" xfId="0" applyBorder="1" applyFont="1"/>
    <xf borderId="1" fillId="0" fontId="3" numFmtId="0" xfId="0" applyAlignment="1" applyBorder="1" applyFont="1">
      <alignment readingOrder="0" vertical="bottom"/>
    </xf>
    <xf borderId="2" fillId="2" fontId="3" numFmtId="0" xfId="0" applyBorder="1" applyFont="1"/>
    <xf borderId="3" fillId="0" fontId="5" numFmtId="0" xfId="0" applyBorder="1" applyFont="1"/>
    <xf borderId="1" fillId="0" fontId="6" numFmtId="0" xfId="0" applyAlignment="1" applyBorder="1" applyFont="1">
      <alignment vertical="bottom"/>
    </xf>
    <xf borderId="2" fillId="2" fontId="7" numFmtId="0" xfId="0" applyBorder="1" applyFont="1"/>
    <xf borderId="4" fillId="0" fontId="5" numFmtId="0" xfId="0" applyBorder="1" applyFont="1"/>
    <xf borderId="5" fillId="3" fontId="7" numFmtId="0" xfId="0" applyAlignment="1" applyBorder="1" applyFill="1" applyFont="1">
      <alignment readingOrder="0" vertical="bottom"/>
    </xf>
    <xf borderId="1" fillId="2" fontId="4" numFmtId="0" xfId="0" applyAlignment="1" applyBorder="1" applyFont="1">
      <alignment readingOrder="0"/>
    </xf>
    <xf borderId="1" fillId="0" fontId="8" numFmtId="0" xfId="0" applyAlignment="1" applyBorder="1" applyFont="1">
      <alignment readingOrder="0" vertical="bottom"/>
    </xf>
    <xf borderId="1" fillId="3" fontId="7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1" fillId="0" fontId="9" numFmtId="0" xfId="0" applyAlignment="1" applyBorder="1" applyFont="1">
      <alignment horizontal="center" readingOrder="0" shrinkToFit="0" wrapText="1"/>
    </xf>
    <xf borderId="1" fillId="0" fontId="10" numFmtId="0" xfId="0" applyAlignment="1" applyBorder="1" applyFont="1">
      <alignment horizontal="center" readingOrder="0" shrinkToFit="0" vertical="top" wrapText="1"/>
    </xf>
    <xf borderId="1" fillId="2" fontId="3" numFmtId="0" xfId="0" applyAlignment="1" applyBorder="1" applyFont="1">
      <alignment vertical="bottom"/>
    </xf>
    <xf borderId="0" fillId="0" fontId="11" numFmtId="0" xfId="0" applyAlignment="1" applyFont="1">
      <alignment readingOrder="0"/>
    </xf>
    <xf borderId="6" fillId="2" fontId="2" numFmtId="0" xfId="0" applyAlignment="1" applyBorder="1" applyFont="1">
      <alignment vertical="bottom"/>
    </xf>
    <xf borderId="7" fillId="2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3" fillId="2" fontId="3" numFmtId="0" xfId="0" applyAlignment="1" applyBorder="1" applyFont="1">
      <alignment vertical="bottom"/>
    </xf>
    <xf borderId="6" fillId="2" fontId="4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4" fillId="2" fontId="3" numFmtId="0" xfId="0" applyAlignment="1" applyBorder="1" applyFont="1">
      <alignment vertical="bottom"/>
    </xf>
    <xf borderId="6" fillId="0" fontId="12" numFmtId="0" xfId="0" applyAlignment="1" applyBorder="1" applyFont="1">
      <alignment vertical="bottom"/>
    </xf>
    <xf borderId="6" fillId="3" fontId="3" numFmtId="0" xfId="0" applyAlignment="1" applyBorder="1" applyFont="1">
      <alignment readingOrder="0" vertical="bottom"/>
    </xf>
    <xf borderId="6" fillId="0" fontId="3" numFmtId="0" xfId="0" applyAlignment="1" applyBorder="1" applyFont="1">
      <alignment vertical="bottom"/>
    </xf>
  </cellXfs>
  <cellStyles count="1">
    <cellStyle xfId="0" name="Normal" builtinId="0"/>
  </cellStyles>
  <dxfs count="6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undã Rodrigues" id="{8e569da6-0ed4-477e-83ee-1c59edc64ac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7" dT="2026-03-05T19:29:57.00" personId="{8e569da6-0ed4-477e-83ee-1c59edc64ac6}" id="{091e4d04-4ed2-42cc-b6cc-f4321d456b08}" done="0">
    <x18tc:text xml:space="preserve">Observe que alguns erros na captura de tela podem vir do usuário (por exemplo, um usuário criou uma tarefa com um erro de digitação no título). Não relate esses erros: os desenvolvedores não são responsáveis por isso.</x18tc:text>
  </x18tc:threadedComment>
  <x18tc:threadedComment ref="C21" dT="2026-03-05T19:30:00.00" personId="{8e569da6-0ed4-477e-83ee-1c59edc64ac6}" id="{23f8a0de-6755-4a7f-ad43-ab397faa946f}" done="0">
    <x18tc:text xml:space="preserve">Observe que alguns erros na captura de tela podem vir do usuário (por exemplo, um usuário criou uma tarefa com um erro de digitação no título). Não relate esses erros: os desenvolvedores não são responsáveis por isso.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3" max="3" width="88.5"/>
  </cols>
  <sheetData>
    <row r="1">
      <c r="A1" s="1"/>
    </row>
    <row r="2">
      <c r="A2" s="2" t="s">
        <v>0</v>
      </c>
      <c r="B2" s="3" t="s">
        <v>1</v>
      </c>
      <c r="C2" s="4" t="s">
        <v>2</v>
      </c>
    </row>
    <row r="3">
      <c r="A3" s="5" t="s">
        <v>3</v>
      </c>
      <c r="B3" s="6" t="s">
        <v>4</v>
      </c>
      <c r="C3" s="7" t="s">
        <v>5</v>
      </c>
    </row>
    <row r="4">
      <c r="A4" s="8" t="s">
        <v>6</v>
      </c>
      <c r="B4" s="6" t="s">
        <v>7</v>
      </c>
      <c r="C4" s="7" t="s">
        <v>8</v>
      </c>
    </row>
    <row r="5">
      <c r="A5" s="9"/>
      <c r="B5" s="6" t="s">
        <v>9</v>
      </c>
      <c r="C5" s="10" t="str">
        <f>HYPERLINK("https://drive.google.com/file/d/1ub3sgtVsh1XZRBxsCg3rTuVooKBjWMnQ/view?usp=sharing","Screenshot")</f>
        <v>Screenshot</v>
      </c>
    </row>
    <row r="6">
      <c r="A6" s="11" t="s">
        <v>10</v>
      </c>
      <c r="B6" s="6" t="s">
        <v>11</v>
      </c>
      <c r="C6" s="7" t="s">
        <v>12</v>
      </c>
    </row>
    <row r="7">
      <c r="A7" s="12"/>
      <c r="B7" s="6" t="s">
        <v>13</v>
      </c>
      <c r="C7" s="7" t="s">
        <v>14</v>
      </c>
    </row>
    <row r="8">
      <c r="A8" s="9"/>
      <c r="B8" s="6" t="s">
        <v>15</v>
      </c>
      <c r="C8" s="13" t="s">
        <v>16</v>
      </c>
    </row>
    <row r="9">
      <c r="A9" s="8" t="s">
        <v>17</v>
      </c>
      <c r="B9" s="14" t="s">
        <v>18</v>
      </c>
      <c r="C9" s="15" t="s">
        <v>19</v>
      </c>
    </row>
    <row r="10">
      <c r="A10" s="12"/>
      <c r="B10" s="6" t="s">
        <v>20</v>
      </c>
      <c r="C10" s="16" t="s">
        <v>21</v>
      </c>
    </row>
    <row r="11">
      <c r="A11" s="12"/>
      <c r="B11" s="6" t="s">
        <v>22</v>
      </c>
      <c r="C11" s="7" t="s">
        <v>23</v>
      </c>
    </row>
    <row r="12">
      <c r="A12" s="12"/>
      <c r="B12" s="6" t="s">
        <v>24</v>
      </c>
      <c r="C12" s="7" t="s">
        <v>25</v>
      </c>
    </row>
    <row r="13">
      <c r="A13" s="9"/>
      <c r="B13" s="6" t="s">
        <v>26</v>
      </c>
      <c r="C13" s="17"/>
    </row>
    <row r="14">
      <c r="A14" s="8" t="s">
        <v>27</v>
      </c>
      <c r="B14" s="6" t="s">
        <v>28</v>
      </c>
      <c r="C14" s="18" t="s">
        <v>29</v>
      </c>
    </row>
    <row r="15">
      <c r="A15" s="12"/>
      <c r="B15" s="6" t="s">
        <v>30</v>
      </c>
      <c r="C15" s="17"/>
    </row>
    <row r="16">
      <c r="A16" s="9"/>
      <c r="B16" s="6" t="s">
        <v>31</v>
      </c>
      <c r="C16" s="19" t="s">
        <v>32</v>
      </c>
    </row>
    <row r="17">
      <c r="A17" s="20" t="s">
        <v>33</v>
      </c>
      <c r="B17" s="6" t="s">
        <v>33</v>
      </c>
      <c r="C17" s="21" t="s">
        <v>34</v>
      </c>
    </row>
    <row r="19">
      <c r="A19" s="2" t="s">
        <v>0</v>
      </c>
      <c r="B19" s="3" t="s">
        <v>1</v>
      </c>
      <c r="C19" s="4" t="s">
        <v>2</v>
      </c>
    </row>
    <row r="20">
      <c r="A20" s="5" t="s">
        <v>3</v>
      </c>
      <c r="B20" s="6" t="s">
        <v>4</v>
      </c>
      <c r="C20" s="7" t="s">
        <v>35</v>
      </c>
    </row>
    <row r="21">
      <c r="A21" s="8" t="s">
        <v>6</v>
      </c>
      <c r="B21" s="6" t="s">
        <v>7</v>
      </c>
      <c r="C21" s="7" t="s">
        <v>36</v>
      </c>
    </row>
    <row r="22">
      <c r="A22" s="9"/>
      <c r="B22" s="6" t="s">
        <v>9</v>
      </c>
      <c r="C22" s="10" t="str">
        <f>HYPERLINK("https://drive.google.com/file/d/155GnkPAX6dR6zNfpiP2ChSeHvzopVuMr/view?usp=sharing","Screenshot")</f>
        <v>Screenshot</v>
      </c>
    </row>
    <row r="23">
      <c r="A23" s="11" t="s">
        <v>10</v>
      </c>
      <c r="B23" s="6" t="s">
        <v>11</v>
      </c>
      <c r="C23" s="7" t="s">
        <v>12</v>
      </c>
    </row>
    <row r="24">
      <c r="A24" s="12"/>
      <c r="B24" s="6" t="s">
        <v>13</v>
      </c>
      <c r="C24" s="13" t="s">
        <v>14</v>
      </c>
    </row>
    <row r="25">
      <c r="A25" s="9"/>
      <c r="B25" s="6" t="s">
        <v>15</v>
      </c>
      <c r="C25" s="13" t="s">
        <v>16</v>
      </c>
    </row>
    <row r="26">
      <c r="A26" s="8" t="s">
        <v>17</v>
      </c>
      <c r="B26" s="14" t="s">
        <v>18</v>
      </c>
      <c r="C26" s="15" t="s">
        <v>37</v>
      </c>
    </row>
    <row r="27">
      <c r="A27" s="12"/>
      <c r="B27" s="6" t="s">
        <v>20</v>
      </c>
      <c r="C27" s="16" t="s">
        <v>38</v>
      </c>
    </row>
    <row r="28">
      <c r="A28" s="12"/>
      <c r="B28" s="6" t="s">
        <v>22</v>
      </c>
      <c r="C28" s="21" t="s">
        <v>39</v>
      </c>
    </row>
    <row r="29">
      <c r="A29" s="12"/>
      <c r="B29" s="6" t="s">
        <v>24</v>
      </c>
      <c r="C29" s="21" t="s">
        <v>40</v>
      </c>
    </row>
    <row r="30">
      <c r="A30" s="9"/>
      <c r="B30" s="6" t="s">
        <v>26</v>
      </c>
      <c r="C30" s="17"/>
    </row>
    <row r="31">
      <c r="A31" s="8" t="s">
        <v>27</v>
      </c>
      <c r="B31" s="6" t="s">
        <v>28</v>
      </c>
      <c r="C31" s="18" t="s">
        <v>29</v>
      </c>
    </row>
    <row r="32">
      <c r="A32" s="12"/>
      <c r="B32" s="6" t="s">
        <v>30</v>
      </c>
      <c r="C32" s="17"/>
    </row>
    <row r="33">
      <c r="A33" s="9"/>
      <c r="B33" s="6" t="s">
        <v>31</v>
      </c>
      <c r="C33" s="19" t="s">
        <v>32</v>
      </c>
    </row>
    <row r="34">
      <c r="A34" s="20" t="s">
        <v>33</v>
      </c>
      <c r="B34" s="6" t="s">
        <v>33</v>
      </c>
      <c r="C34" s="21" t="s">
        <v>41</v>
      </c>
    </row>
    <row r="36">
      <c r="A36" s="22" t="s">
        <v>0</v>
      </c>
      <c r="B36" s="23" t="s">
        <v>1</v>
      </c>
      <c r="C36" s="24" t="s">
        <v>2</v>
      </c>
    </row>
    <row r="37">
      <c r="A37" s="25" t="s">
        <v>3</v>
      </c>
      <c r="B37" s="26" t="s">
        <v>4</v>
      </c>
      <c r="C37" s="27" t="s">
        <v>42</v>
      </c>
    </row>
    <row r="38">
      <c r="A38" s="28" t="s">
        <v>6</v>
      </c>
      <c r="B38" s="26" t="s">
        <v>7</v>
      </c>
      <c r="C38" s="21" t="s">
        <v>43</v>
      </c>
    </row>
    <row r="39">
      <c r="A39" s="9"/>
      <c r="B39" s="26" t="s">
        <v>9</v>
      </c>
      <c r="C39" s="29" t="str">
        <f>HYPERLINK("https://drive.google.com/file/d/1rAqtLForS65FggNT3PdEi044VCo2sv8v/view?usp=sharing","Screenshot")</f>
        <v>Screenshot</v>
      </c>
    </row>
    <row r="40">
      <c r="A40" s="28" t="s">
        <v>10</v>
      </c>
      <c r="B40" s="26" t="s">
        <v>11</v>
      </c>
      <c r="C40" s="27" t="s">
        <v>12</v>
      </c>
    </row>
    <row r="41">
      <c r="A41" s="12"/>
      <c r="B41" s="26" t="s">
        <v>13</v>
      </c>
      <c r="C41" s="27" t="s">
        <v>14</v>
      </c>
    </row>
    <row r="42">
      <c r="A42" s="9"/>
      <c r="B42" s="26" t="s">
        <v>15</v>
      </c>
      <c r="C42" s="13" t="s">
        <v>16</v>
      </c>
    </row>
    <row r="43">
      <c r="A43" s="28" t="s">
        <v>17</v>
      </c>
      <c r="B43" s="26" t="s">
        <v>18</v>
      </c>
      <c r="C43" s="27" t="s">
        <v>44</v>
      </c>
    </row>
    <row r="44">
      <c r="A44" s="12"/>
      <c r="B44" s="26" t="s">
        <v>20</v>
      </c>
      <c r="C44" s="30" t="s">
        <v>45</v>
      </c>
    </row>
    <row r="45">
      <c r="A45" s="12"/>
      <c r="B45" s="26" t="s">
        <v>22</v>
      </c>
      <c r="C45" s="21" t="s">
        <v>46</v>
      </c>
    </row>
    <row r="46">
      <c r="A46" s="12"/>
      <c r="B46" s="26" t="s">
        <v>24</v>
      </c>
      <c r="C46" s="21" t="s">
        <v>47</v>
      </c>
    </row>
    <row r="47">
      <c r="A47" s="9"/>
      <c r="B47" s="26" t="s">
        <v>26</v>
      </c>
      <c r="C47" s="31"/>
    </row>
    <row r="48">
      <c r="A48" s="28" t="s">
        <v>27</v>
      </c>
      <c r="B48" s="26" t="s">
        <v>28</v>
      </c>
      <c r="C48" s="18" t="s">
        <v>29</v>
      </c>
    </row>
    <row r="49">
      <c r="A49" s="12"/>
      <c r="B49" s="26" t="s">
        <v>30</v>
      </c>
      <c r="C49" s="31"/>
    </row>
    <row r="50">
      <c r="A50" s="9"/>
      <c r="B50" s="26" t="s">
        <v>31</v>
      </c>
      <c r="C50" s="19" t="s">
        <v>32</v>
      </c>
    </row>
    <row r="51">
      <c r="A51" s="25" t="s">
        <v>33</v>
      </c>
      <c r="B51" s="26" t="s">
        <v>33</v>
      </c>
      <c r="C51" s="21" t="s">
        <v>48</v>
      </c>
    </row>
  </sheetData>
  <mergeCells count="12">
    <mergeCell ref="A31:A33"/>
    <mergeCell ref="A38:A39"/>
    <mergeCell ref="A40:A42"/>
    <mergeCell ref="A43:A47"/>
    <mergeCell ref="A48:A50"/>
    <mergeCell ref="A4:A5"/>
    <mergeCell ref="A6:A8"/>
    <mergeCell ref="A9:A13"/>
    <mergeCell ref="A14:A16"/>
    <mergeCell ref="A21:A22"/>
    <mergeCell ref="A23:A25"/>
    <mergeCell ref="A26:A30"/>
  </mergeCells>
  <conditionalFormatting sqref="C16 C33 C50">
    <cfRule type="cellIs" dxfId="0" priority="1" operator="equal">
      <formula>"Critical"</formula>
    </cfRule>
  </conditionalFormatting>
  <conditionalFormatting sqref="C16 C33 C50">
    <cfRule type="cellIs" dxfId="1" priority="2" operator="equal">
      <formula>"High"</formula>
    </cfRule>
  </conditionalFormatting>
  <conditionalFormatting sqref="C16 C33 C50">
    <cfRule type="cellIs" dxfId="2" priority="3" operator="equal">
      <formula>"Medium"</formula>
    </cfRule>
  </conditionalFormatting>
  <conditionalFormatting sqref="C16 C33 C50">
    <cfRule type="cellIs" dxfId="3" priority="4" operator="equal">
      <formula>"Low"</formula>
    </cfRule>
  </conditionalFormatting>
  <conditionalFormatting sqref="C14 C31">
    <cfRule type="cellIs" dxfId="1" priority="5" operator="equal">
      <formula>"Critical"</formula>
    </cfRule>
  </conditionalFormatting>
  <conditionalFormatting sqref="C14 C31">
    <cfRule type="cellIs" dxfId="2" priority="6" operator="equal">
      <formula>"Major"</formula>
    </cfRule>
  </conditionalFormatting>
  <conditionalFormatting sqref="C14 C31">
    <cfRule type="cellIs" dxfId="3" priority="7" operator="equal">
      <formula>"Moderate"</formula>
    </cfRule>
  </conditionalFormatting>
  <conditionalFormatting sqref="C14 C31">
    <cfRule type="containsText" dxfId="4" priority="8" operator="containsText" text="Minor">
      <formula>NOT(ISERROR(SEARCH(("Minor"),(C14))))</formula>
    </cfRule>
  </conditionalFormatting>
  <conditionalFormatting sqref="C14 C31 C48">
    <cfRule type="containsBlanks" dxfId="5" priority="9">
      <formula>LEN(TRIM(C14))=0</formula>
    </cfRule>
  </conditionalFormatting>
  <conditionalFormatting sqref="C16 C33 C50">
    <cfRule type="containsBlanks" dxfId="5" priority="10">
      <formula>LEN(TRIM(C16))=0</formula>
    </cfRule>
  </conditionalFormatting>
  <conditionalFormatting sqref="C16 C33 C50">
    <cfRule type="containsBlanks" dxfId="5" priority="11">
      <formula>LEN(TRIM(C16))=0</formula>
    </cfRule>
  </conditionalFormatting>
  <dataValidations>
    <dataValidation type="list" allowBlank="1" sqref="C14 C31 C48">
      <formula1>"Critical,Major,Moderate,Minor"</formula1>
    </dataValidation>
    <dataValidation type="list" allowBlank="1" sqref="C16 C33 C50">
      <formula1>"High,Medium,Low"</formula1>
    </dataValidation>
  </dataValidations>
  <drawing r:id="rId4"/>
  <legacyDrawing r:id="rId5"/>
</worksheet>
</file>